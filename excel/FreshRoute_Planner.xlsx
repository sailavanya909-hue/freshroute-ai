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de917aa58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r" sheetId="1" r:id="R92e3c2b478e8402e"/>
    <x:sheet xmlns:r="http://schemas.openxmlformats.org/officeDocument/2006/relationships" name="Sensitivity" sheetId="2" r:id="Rd315af5657114ec9"/>
    <x:sheet xmlns:r="http://schemas.openxmlformats.org/officeDocument/2006/relationships" name="Quotes" sheetId="3" r:id="Rdc86bc7d84284974"/>
    <x:sheet xmlns:r="http://schemas.openxmlformats.org/officeDocument/2006/relationships" name="Routes" sheetId="4" r:id="R04ff1a5086bf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"/>
    <x:numFmt numFmtId="202" formatCode="$0.000"/>
    <x:numFmt numFmtId="203" formatCode="0.0%"/>
    <x:numFmt numFmtId="204" formatCode="$0.00"/>
    <x:numFmt numFmtId="205" formatCode="$0.0000"/>
    <x:numFmt numFmtId="206" formatCode="$#,##0.00"/>
    <x:numFmt numFmtId="207" formatCode="0%"/>
    <x:numFmt numFmtId="208" formatCode="$#,##0"/>
  </x:numFmts>
  <x:fonts count="6">
    <x:font>
      <x:sz val="11"/>
      <x:name val="Carlito"/>
    </x:font>
    <x:font>
      <x:sz val="10"/>
      <x:color rgb="FF283D33"/>
      <x:name val="Arial"/>
    </x:font>
    <x:font>
      <x:b/>
      <x:sz val="16"/>
      <x:color rgb="FF245D46"/>
      <x:name val="Arial"/>
    </x:font>
    <x:font>
      <x:sz val="10"/>
      <x:color rgb="FF7B866F"/>
      <x:name val="Arial"/>
    </x:font>
    <x:font>
      <x:b/>
      <x:sz val="10"/>
      <x:color rgb="FFFFFFFF"/>
      <x:name val="Arial"/>
    </x:font>
    <x:font>
      <x:b/>
      <x:sz val="10"/>
      <x:color rgb="FF245D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8"/>
      </x:patternFill>
    </x:fill>
    <x:fill>
      <x:patternFill patternType="solid">
        <x:fgColor rgb="FF284E3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4AE86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7" fontId="1" fillId="3" borderId="0" xfId="0" applyNumberFormat="1" applyFont="1" applyFill="1" applyBorder="1"/>
    <x:xf numFmtId="207" fontId="4" fillId="3" borderId="0" xfId="0" applyNumberFormat="1" applyFont="1" applyFill="1" applyBorder="1"/>
    <x:xf numFmtId="207" fontId="4" fillId="3" borderId="0" xfId="0" applyNumberFormat="1" applyFont="1" applyFill="1" applyBorder="1" applyAlignment="1">
      <x:alignment wrapText="1"/>
    </x:xf>
    <x:xf numFmtId="207" fontId="4" fillId="3" borderId="0" xfId="0" applyNumberFormat="1" applyFont="1" applyFill="1" applyBorder="1" applyAlignment="1">
      <x:alignment horizontal="center" wrapText="1"/>
    </x:xf>
    <x:xf numFmtId="207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9C652F"/>
      </x:font>
      <x:fill>
        <x:patternFill patternType="solid">
          <x:bgColor rgb="FFFCE8D4"/>
        </x:patternFill>
      </x:fill>
    </x:dxf>
    <x:dxf>
      <x:font>
        <x:color rgb="FF9C652F"/>
      </x:font>
      <x:fill>
        <x:patternFill patternType="solid">
          <x:bgColor rgb="FFFCE8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f7fd45ad34ad2" /><Relationship Type="http://schemas.openxmlformats.org/officeDocument/2006/relationships/theme" Target="/xl/theme/theme1.xml" Id="R6b3176a707b5456d" /><Relationship Type="http://schemas.openxmlformats.org/officeDocument/2006/relationships/sharedStrings" Target="/xl/sharedStrings.xml" Id="R3a83759b18f44263" /><Relationship Type="http://schemas.openxmlformats.org/officeDocument/2006/relationships/worksheet" Target="/xl/worksheets/sheet1.xml" Id="R92e3c2b478e8402e" /><Relationship Type="http://schemas.openxmlformats.org/officeDocument/2006/relationships/worksheet" Target="/xl/worksheets/sheet2.xml" Id="Rd315af5657114ec9" /><Relationship Type="http://schemas.openxmlformats.org/officeDocument/2006/relationships/worksheet" Target="/xl/worksheets/sheet3.xml" Id="Rdc86bc7d84284974" /><Relationship Type="http://schemas.openxmlformats.org/officeDocument/2006/relationships/worksheet" Target="/xl/worksheets/sheet4.xml" Id="R04ff1a5086bf49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bee103cb294d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Contribution as spoilage rises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Contribution USD</c:v>
          </c:tx>
          <c:spPr>
            <a:ln xmlns:a="http://schemas.openxmlformats.org/drawingml/2006/main" w="19050">
              <a:solidFill>
                <a:srgbClr val="4A7857"/>
              </a:solidFill>
              <a:prstDash val="solid"/>
            </a:ln>
          </c:spPr>
          <c:marker>
            <c:symbol val="none"/>
          </c:marker>
          <c:cat>
            <c:strRef>
              <c:f>'Planner'!$B$26:$B$31</c:f>
              <c:strCache>
                <c:ptCount val="0"/>
              </c:strCache>
            </c:strRef>
          </c:cat>
          <c:val>
            <c:numRef>
              <c:f>'Planner'!$C$26:$C$31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25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ee103cb294d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oteObservations" displayName="QuoteObservations" ref="B6:J28" headerRowCount="1" totalsRowCount="0" totalsRowShown="0">
  <x:tableColumns count="9">
    <x:tableColumn id="1" name="Evidence ID"/>
    <x:tableColumn id="2" name="Report date"/>
    <x:tableColumn id="3" name="Market"/>
    <x:tableColumn id="4" name="Size count"/>
    <x:tableColumn id="5" name="Low USD/carton"/>
    <x:tableColumn id="6" name="High USD/carton"/>
    <x:tableColumn id="7" name="Mid USD/lb"/>
    <x:tableColumn id="8" name="Source page"/>
    <x:tableColumn id="9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Assumptions" displayName="RouteAssumptions" ref="B6:G9" headerRowCount="1" totalsRowCount="0" totalsRowShown="0">
  <x:tableColumns count="6">
    <x:tableColumn id="1" name="Market"/>
    <x:tableColumn id="2" name="Freight USD/lb"/>
    <x:tableColumn id="3" name="Shrink fraction"/>
    <x:tableColumn id="4" name="Capacity lb"/>
    <x:tableColumn id="5" name="Transit hours"/>
    <x:tableColumn id="6" name="Data ki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cb8fefccfd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509f13fe54d4a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197ac025ba94da0" /></Relationships>
</file>

<file path=xl/worksheets/sheet1.xml><?xml version="1.0" encoding="utf-8"?>
<x:worksheet xmlns:x="http://schemas.openxmlformats.org/spreadsheetml/2006/main">
  <x:sheetPr>
    <x:tabColor rgb="FF245D46"/>
  </x:sheetPr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2" t="str">
        <x:v>FreshRoute sourcing planner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</x:row>
    <x:row r="4" ht="23" customHeight="1">
      <x:c r="A4" s="1"/>
      <x:c r="B4" s="1" t="str">
        <x:v>Real USDA quote ranges. Freight, shrink, selling price and capacity are scenario assumptions.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1"/>
      <x:c r="B6" s="1" t="str">
        <x:v>Report date</x:v>
      </x:c>
      <x:c r="C6" s="5" t="d">
        <x:v>2026-10-26T00:00:00.000Z</x:v>
      </x:c>
      <x:c r="D6" s="1"/>
      <x:c r="E6" s="9" t="str">
        <x:v>Editable inputs are shaded amber.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 t="str">
        <x:v>Carton count</x:v>
      </x:c>
      <x:c r="C7" s="6" t="n">
        <x:v>80</x:v>
      </x:c>
      <x:c r="D7" s="1"/>
      <x:c r="E7" s="9" t="str">
        <x:v>Exact-date comparisons. New York has only October 27 observations.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 t="str">
        <x:v>Purchased lb</x:v>
      </x:c>
      <x:c r="C8" s="6" t="n">
        <x:v>10000</x:v>
      </x:c>
      <x:c r="D8" s="1"/>
      <x:c r="E8" s="9" t="str">
        <x:v>100 count = number of potatoes per 50 lb carton, not weight in pounds.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 t="str">
        <x:v>Selling USD/lb</x:v>
      </x:c>
      <x:c r="C9" s="7" t="n">
        <x:v>1.05</x:v>
      </x:c>
      <x:c r="D9" s="1"/>
      <x:c r="E9" s="9" t="str">
        <x:v>USD/lb midpoint is derived from the overall low–high quote range.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 t="str">
        <x:v>Freight delta</x:v>
      </x:c>
      <x:c r="C10" s="7" t="n">
        <x:v>0</x:v>
      </x:c>
      <x:c r="D10" s="1"/>
      <x:c r="E10" s="9" t="str">
        <x:v>Capacity applies to purchased pounds. Select only a feasible option.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 t="str">
        <x:v>Shrink delta</x:v>
      </x:c>
      <x:c r="C11" s="8" t="n">
        <x:v>0</x:v>
      </x:c>
      <x:c r="D11" s="1"/>
      <x:c r="E11" s="9" t="str">
        <x:v>No actual customer invoices or measured spoilage are included.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36" customHeight="1">
      <x:c r="A15" s="1"/>
      <x:c r="B15" s="14" t="str">
        <x:v>Market</x:v>
      </x:c>
      <x:c r="C15" s="14" t="str">
        <x:v>Quotes found</x:v>
      </x:c>
      <x:c r="D15" s="14" t="str">
        <x:v>Buy USD/lb</x:v>
      </x:c>
      <x:c r="E15" s="14" t="str">
        <x:v>Freight USD/lb</x:v>
      </x:c>
      <x:c r="F15" s="14" t="str">
        <x:v>Shrink</x:v>
      </x:c>
      <x:c r="G15" s="14" t="str">
        <x:v>Capacity lb</x:v>
      </x:c>
      <x:c r="H15" s="14" t="str">
        <x:v>Feasible</x:v>
      </x:c>
      <x:c r="I15" s="14" t="str">
        <x:v>Saleable lb</x:v>
      </x:c>
      <x:c r="J15" s="14" t="str">
        <x:v>Cost USD</x:v>
      </x:c>
      <x:c r="K15" s="14" t="str">
        <x:v>Revenue USD</x:v>
      </x:c>
      <x:c r="L15" s="14" t="str">
        <x:v>Contribution USD</x:v>
      </x:c>
      <x:c r="M15" s="14" t="str">
        <x:v>Delivered USD/lb</x:v>
      </x:c>
      <x:c r="N15" s="14" t="str">
        <x:v>Rank cost</x:v>
      </x:c>
      <x:c r="O15" s="1"/>
      <x:c r="P15" s="1"/>
    </x:row>
    <x:row r="16" ht="23" customHeight="1">
      <x:c r="A16" s="1"/>
      <x:c r="B16" s="1" t="str">
        <x:v>Boston</x:v>
      </x:c>
      <x:c r="C16" s="1" t="n">
        <x:f>COUNTIFS(Quotes!$C$7:$C$28,$C$6,Quotes!$D$7:$D$28,B16,Quotes!$E$7:$E$28,$C$7)</x:f>
        <x:v>1</x:v>
      </x:c>
      <x:c r="D16" s="17" t="n">
        <x:f>IF(C16=1,SUMIFS(Quotes!$H$7:$H$28,Quotes!$C$7:$C$28,$C$6,Quotes!$D$7:$D$28,B16,Quotes!$E$7:$E$28,$C$7),"n.a.")</x:f>
        <x:v>0.69</x:v>
      </x:c>
      <x:c r="E16" s="17" t="n">
        <x:f>IF(COUNT(Routes!C7,$C$10)&lt;&gt;2,"n.a.",Routes!C7+$C$10)</x:f>
        <x:v>0.06</x:v>
      </x:c>
      <x:c r="F16" s="18" t="n">
        <x:f>IF(COUNT(Routes!D7,$C$11)&lt;&gt;2,"n.a.",Routes!D7+$C$11)</x:f>
        <x:v>0.03</x:v>
      </x:c>
      <x:c r="G16" s="19" t="n">
        <x:f>IF(COUNT(Routes!E7)&lt;&gt;1,"n.a.",Routes!E7)</x:f>
        <x:v>12000</x:v>
      </x:c>
      <x:c r="H16" s="19" t="str">
        <x:f>IF(OR(C16&lt;&gt;1,COUNT($C$6:$C$11)&lt;&gt;6,NOT(ISNUMBER(E16)),NOT(ISNUMBER(F16)),NOT(ISNUMBER(G16))),"Unavailable",IF(OR($C$8&lt;=0,$C$9&lt;0,E16&lt;0,F16&lt;0,F16&gt;=1,G16&lt;=0),"Invalid",IF($C$8&lt;=G16,"Yes","Over capacity")))</x:f>
        <x:v>Yes</x:v>
      </x:c>
      <x:c r="I16" s="19" t="n">
        <x:f>IF(H16="Yes",$C$8*(1-F16),"n.a.")</x:f>
        <x:v>9700</x:v>
      </x:c>
      <x:c r="J16" s="20" t="n">
        <x:f>IF(H16="Yes",$C$8*(D16+E16),"n.a.")</x:f>
        <x:v>7500</x:v>
      </x:c>
      <x:c r="K16" s="20" t="n">
        <x:f>IF(H16="Yes",I16*$C$9,"n.a.")</x:f>
        <x:v>10185</x:v>
      </x:c>
      <x:c r="L16" s="20" t="n">
        <x:f>IF(H16="Yes",K16-J16,"n.a.")</x:f>
        <x:v>2685</x:v>
      </x:c>
      <x:c r="M16" s="17" t="n">
        <x:f>IF(H16="Yes",J16/I16,"n.a.")</x:f>
        <x:v>0.7731958762886598</x:v>
      </x:c>
      <x:c r="N16" s="17" t="n">
        <x:f>IF(H16="Yes",M16,"")</x:f>
        <x:v>0.7731958762886598</x:v>
      </x:c>
      <x:c r="O16" s="1"/>
      <x:c r="P16" s="1"/>
    </x:row>
    <x:row r="17" ht="23" customHeight="1">
      <x:c r="A17" s="1"/>
      <x:c r="B17" s="1" t="str">
        <x:v>Chicago</x:v>
      </x:c>
      <x:c r="C17" s="1" t="n">
        <x:f>COUNTIFS(Quotes!$C$7:$C$28,$C$6,Quotes!$D$7:$D$28,B17,Quotes!$E$7:$E$28,$C$7)</x:f>
        <x:v>1</x:v>
      </x:c>
      <x:c r="D17" s="17" t="n">
        <x:f>IF(C17=1,SUMIFS(Quotes!$H$7:$H$28,Quotes!$C$7:$C$28,$C$6,Quotes!$D$7:$D$28,B17,Quotes!$E$7:$E$28,$C$7),"n.a.")</x:f>
        <x:v>0.56</x:v>
      </x:c>
      <x:c r="E17" s="17" t="n">
        <x:f>IF(COUNT(Routes!C8,$C$10)&lt;&gt;2,"n.a.",Routes!C8+$C$10)</x:f>
        <x:v>0.19</x:v>
      </x:c>
      <x:c r="F17" s="18" t="n">
        <x:f>IF(COUNT(Routes!D8,$C$11)&lt;&gt;2,"n.a.",Routes!D8+$C$11)</x:f>
        <x:v>0.06</x:v>
      </x:c>
      <x:c r="G17" s="19" t="n">
        <x:f>IF(COUNT(Routes!E8)&lt;&gt;1,"n.a.",Routes!E8)</x:f>
        <x:v>16000</x:v>
      </x:c>
      <x:c r="H17" s="19" t="str">
        <x:f>IF(OR(C17&lt;&gt;1,COUNT($C$6:$C$11)&lt;&gt;6,NOT(ISNUMBER(E17)),NOT(ISNUMBER(F17)),NOT(ISNUMBER(G17))),"Unavailable",IF(OR($C$8&lt;=0,$C$9&lt;0,E17&lt;0,F17&lt;0,F17&gt;=1,G17&lt;=0),"Invalid",IF($C$8&lt;=G17,"Yes","Over capacity")))</x:f>
        <x:v>Yes</x:v>
      </x:c>
      <x:c r="I17" s="19" t="n">
        <x:f>IF(H17="Yes",$C$8*(1-F17),"n.a.")</x:f>
        <x:v>9400</x:v>
      </x:c>
      <x:c r="J17" s="20" t="n">
        <x:f>IF(H17="Yes",$C$8*(D17+E17),"n.a.")</x:f>
        <x:v>7500</x:v>
      </x:c>
      <x:c r="K17" s="20" t="n">
        <x:f>IF(H17="Yes",I17*$C$9,"n.a.")</x:f>
        <x:v>9870</x:v>
      </x:c>
      <x:c r="L17" s="20" t="n">
        <x:f>IF(H17="Yes",K17-J17,"n.a.")</x:f>
        <x:v>2370</x:v>
      </x:c>
      <x:c r="M17" s="17" t="n">
        <x:f>IF(H17="Yes",J17/I17,"n.a.")</x:f>
        <x:v>0.7978723404255319</x:v>
      </x:c>
      <x:c r="N17" s="17" t="n">
        <x:f>IF(H17="Yes",M17,"")</x:f>
        <x:v>0.7978723404255319</x:v>
      </x:c>
      <x:c r="O17" s="1"/>
      <x:c r="P17" s="1"/>
    </x:row>
    <x:row r="18" ht="23" customHeight="1">
      <x:c r="A18" s="1"/>
      <x:c r="B18" s="1" t="str">
        <x:v>New York</x:v>
      </x:c>
      <x:c r="C18" s="1" t="n">
        <x:f>COUNTIFS(Quotes!$C$7:$C$28,$C$6,Quotes!$D$7:$D$28,B18,Quotes!$E$7:$E$28,$C$7)</x:f>
        <x:v>0</x:v>
      </x:c>
      <x:c r="D18" s="17" t="str">
        <x:f>IF(C18=1,SUMIFS(Quotes!$H$7:$H$28,Quotes!$C$7:$C$28,$C$6,Quotes!$D$7:$D$28,B18,Quotes!$E$7:$E$28,$C$7),"n.a.")</x:f>
        <x:v>n.a.</x:v>
      </x:c>
      <x:c r="E18" s="17" t="n">
        <x:f>IF(COUNT(Routes!C9,$C$10)&lt;&gt;2,"n.a.",Routes!C9+$C$10)</x:f>
        <x:v>0.04</x:v>
      </x:c>
      <x:c r="F18" s="18" t="n">
        <x:f>IF(COUNT(Routes!D9,$C$11)&lt;&gt;2,"n.a.",Routes!D9+$C$11)</x:f>
        <x:v>0.025</x:v>
      </x:c>
      <x:c r="G18" s="19" t="n">
        <x:f>IF(COUNT(Routes!E9)&lt;&gt;1,"n.a.",Routes!E9)</x:f>
        <x:v>10000</x:v>
      </x:c>
      <x:c r="H18" s="19" t="str">
        <x:f>IF(OR(C18&lt;&gt;1,COUNT($C$6:$C$11)&lt;&gt;6,NOT(ISNUMBER(E18)),NOT(ISNUMBER(F18)),NOT(ISNUMBER(G18))),"Unavailable",IF(OR($C$8&lt;=0,$C$9&lt;0,E18&lt;0,F18&lt;0,F18&gt;=1,G18&lt;=0),"Invalid",IF($C$8&lt;=G18,"Yes","Over capacity")))</x:f>
        <x:v>Unavailable</x:v>
      </x:c>
      <x:c r="I18" s="19" t="str">
        <x:f>IF(H18="Yes",$C$8*(1-F18),"n.a.")</x:f>
        <x:v>n.a.</x:v>
      </x:c>
      <x:c r="J18" s="20" t="str">
        <x:f>IF(H18="Yes",$C$8*(D18+E18),"n.a.")</x:f>
        <x:v>n.a.</x:v>
      </x:c>
      <x:c r="K18" s="20" t="str">
        <x:f>IF(H18="Yes",I18*$C$9,"n.a.")</x:f>
        <x:v>n.a.</x:v>
      </x:c>
      <x:c r="L18" s="20" t="str">
        <x:f>IF(H18="Yes",K18-J18,"n.a.")</x:f>
        <x:v>n.a.</x:v>
      </x:c>
      <x:c r="M18" s="17" t="str">
        <x:f>IF(H18="Yes",J18/I18,"n.a.")</x:f>
        <x:v>n.a.</x:v>
      </x:c>
      <x:c r="N18" s="17" t="str">
        <x:f>IF(H18="Yes",M18,"")</x:f>
      </x:c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21" t="str">
        <x:v>Best feasible market</x:v>
      </x:c>
      <x:c r="C21" s="21"/>
      <x:c r="D21" s="21" t="str">
        <x:f>IF(COUNTIFS(H16:H18,"Yes")=0,"Unavailable",INDEX(B16:B18,MATCH(MIN(N16:N18),N16:N18,0)))</x:f>
        <x:v>Boston</x:v>
      </x:c>
      <x:c r="E21" s="21"/>
      <x:c r="F21" s="21" t="str">
        <x:v>Delivered USD/lb</x:v>
      </x:c>
      <x:c r="G21" s="21"/>
      <x:c r="H21" s="22" t="n">
        <x:f>IF(D21="Unavailable","n.a.",MIN(N16:N18))</x:f>
        <x:v>0.7731958762886598</x:v>
      </x:c>
      <x:c r="I21" s="21"/>
      <x:c r="J21" s="21" t="str">
        <x:v>Contribution USD</x:v>
      </x:c>
      <x:c r="K21" s="21"/>
      <x:c r="L21" s="23" t="n">
        <x:f>IF(D21="Unavailable","n.a.",INDEX(L16:L18,MATCH(D21,B16:B18,0)))</x:f>
        <x:v>2685</x:v>
      </x:c>
      <x:c r="M21" s="21"/>
      <x:c r="N21" s="21"/>
      <x:c r="O21" s="1"/>
      <x:c r="P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 t="str">
        <x:v>Contribution excludes fixed overhead, financing and taxes. All alternatives represent the same shipment; do not sum them.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36" customHeight="1">
      <x:c r="A25" s="1"/>
      <x:c r="B25" s="14" t="str">
        <x:v>Extra shrink</x:v>
      </x:c>
      <x:c r="C25" s="14" t="str">
        <x:v>Contribution USD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24" t="n">
        <x:v>0</x:v>
      </x:c>
      <x:c r="C26" s="25" t="n">
        <x:f>Sensitivity!D14</x:f>
        <x:v>2685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24" t="n">
        <x:v>0.03</x:v>
      </x:c>
      <x:c r="C27" s="25" t="n">
        <x:f>Sensitivity!E14</x:f>
        <x:v>2370.0000000000005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24" t="n">
        <x:v>0.06</x:v>
      </x:c>
      <x:c r="C28" s="25" t="n">
        <x:f>Sensitivity!F14</x:f>
        <x:v>2054.9999999999995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24" t="n">
        <x:v>0.09</x:v>
      </x:c>
      <x:c r="C29" s="25" t="n">
        <x:f>Sensitivity!G14</x:f>
        <x:v>1740.000000000001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24" t="n">
        <x:v>0.12</x:v>
      </x:c>
      <x:c r="C30" s="25" t="n">
        <x:f>Sensitivity!H14</x:f>
        <x:v>1425.0000000000002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24" t="n">
        <x:v>0.15</x:v>
      </x:c>
      <x:c r="C31" s="25" t="n">
        <x:f>Sensitivity!I14</x:f>
        <x:v>1110.0000000000005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conditionalFormatting sqref="H16:H18">
    <x:cfRule type="containsText" dxfId="0" priority="1" operator="containsText" text="Over capacity"/>
  </x:conditionalFormatting>
  <x:conditionalFormatting sqref="L16:L18">
    <x:cfRule type="cellIs" dxfId="1" priority="2" operator="lessThan">
      <x:formula>0</x:formula>
    </x:cfRule>
  </x:conditionalFormatting>
  <x:dataValidations count="4">
    <x:dataValidation type="list" sqref="C7">
      <x:formula1>"40,50,60,70,80,90,100,120"</x:formula1>
    </x:dataValidation>
    <x:dataValidation type="decimal" operator="greaterThan" sqref="C8">
      <x:formula1>0</x:formula1>
    </x:dataValidation>
    <x:dataValidation type="decimal" operator="greaterThanOrEqual" sqref="C9">
      <x:formula1>0</x:formula1>
    </x:dataValidation>
    <x:dataValidation type="decimal" operator="between" sqref="C11">
      <x:formula1>-0.02</x:formula1>
      <x:formula2>0.3</x:formula2>
    </x:dataValidation>
  </x:dataValidations>
  <x:pageMargins left="0.7" right="0.7" top="0.75" bottom="0.75" header="0.3" footer="0.3"/>
  <x:drawing xmlns:r="http://schemas.openxmlformats.org/officeDocument/2006/relationships" r:id="Ra9cb8fefccfd4e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2" t="str">
        <x:v>Freight and spoilage sensitivity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</x:row>
    <x:row r="4" ht="23" customHeight="1">
      <x:c r="A4" s="1"/>
      <x:c r="B4" s="1" t="str">
        <x:v>Single-route modeled contribution, USD. Uses the best feasible route selected in Planner.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1"/>
      <x:c r="B6" s="1" t="str">
        <x:v>Selected market</x:v>
      </x:c>
      <x:c r="C6" s="1" t="str">
        <x:f>Planner!D21</x:f>
        <x:v>Boston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 t="str">
        <x:v>Purchase USD/lb</x:v>
      </x:c>
      <x:c r="C7" s="17" t="n">
        <x:f>IF(C6="Unavailable","n.a.",INDEX(Planner!D16:D18,MATCH(C6,Planner!B16:B18,0)))</x:f>
        <x:v>0.69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 t="str">
        <x:v>Base freight USD/lb</x:v>
      </x:c>
      <x:c r="C8" s="17" t="n">
        <x:f>IF(C6="Unavailable","n.a.",INDEX(Planner!E16:E18,MATCH(C6,Planner!B16:B18,0)))</x:f>
        <x:v>0.06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 t="str">
        <x:v>Base shrink</x:v>
      </x:c>
      <x:c r="C9" s="18" t="n">
        <x:f>IF(C6="Unavailable","n.a.",INDEX(Planner!F16:F18,MATCH(C6,Planner!B16:B18,0)))</x:f>
        <x:v>0.03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 t="str">
        <x:v>Additional shrink →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36" customHeight="1">
      <x:c r="A13" s="1"/>
      <x:c r="B13" s="1"/>
      <x:c r="C13" s="1"/>
      <x:c r="D13" s="30" t="n">
        <x:v>0</x:v>
      </x:c>
      <x:c r="E13" s="30" t="n">
        <x:v>0.03</x:v>
      </x:c>
      <x:c r="F13" s="30" t="n">
        <x:v>0.06</x:v>
      </x:c>
      <x:c r="G13" s="30" t="n">
        <x:v>0.09</x:v>
      </x:c>
      <x:c r="H13" s="30" t="n">
        <x:v>0.12</x:v>
      </x:c>
      <x:c r="I13" s="30" t="n">
        <x:v>0.15</x:v>
      </x:c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 t="str">
        <x:v>Freight delta ↓</x:v>
      </x:c>
      <x:c r="C14" s="16" t="n">
        <x:v>0</x:v>
      </x:c>
      <x:c r="D14" s="25" t="n">
        <x:f>IF(OR($C$6="Unavailable",COUNTBLANK(Planner!$C$6:$C$11)&gt;0),"n.a.",IF($C$9+D$13&gt;=1,"n.a.",Planner!$C$8*((1-$C$9-D$13)*Planner!$C$9-$C$7-$C$8-$C14)))</x:f>
        <x:v>2685</x:v>
      </x:c>
      <x:c r="E14" s="25" t="n">
        <x:f>IF(OR($C$6="Unavailable",COUNTBLANK(Planner!$C$6:$C$11)&gt;0),"n.a.",IF($C$9+E$13&gt;=1,"n.a.",Planner!$C$8*((1-$C$9-E$13)*Planner!$C$9-$C$7-$C$8-$C14)))</x:f>
        <x:v>2370.0000000000005</x:v>
      </x:c>
      <x:c r="F14" s="25" t="n">
        <x:f>IF(OR($C$6="Unavailable",COUNTBLANK(Planner!$C$6:$C$11)&gt;0),"n.a.",IF($C$9+F$13&gt;=1,"n.a.",Planner!$C$8*((1-$C$9-F$13)*Planner!$C$9-$C$7-$C$8-$C14)))</x:f>
        <x:v>2054.9999999999995</x:v>
      </x:c>
      <x:c r="G14" s="25" t="n">
        <x:f>IF(OR($C$6="Unavailable",COUNTBLANK(Planner!$C$6:$C$11)&gt;0),"n.a.",IF($C$9+G$13&gt;=1,"n.a.",Planner!$C$8*((1-$C$9-G$13)*Planner!$C$9-$C$7-$C$8-$C14)))</x:f>
        <x:v>1740.000000000001</x:v>
      </x:c>
      <x:c r="H14" s="25" t="n">
        <x:f>IF(OR($C$6="Unavailable",COUNTBLANK(Planner!$C$6:$C$11)&gt;0),"n.a.",IF($C$9+H$13&gt;=1,"n.a.",Planner!$C$8*((1-$C$9-H$13)*Planner!$C$9-$C$7-$C$8-$C14)))</x:f>
        <x:v>1425.0000000000002</x:v>
      </x:c>
      <x:c r="I14" s="25" t="n">
        <x:f>IF(OR($C$6="Unavailable",COUNTBLANK(Planner!$C$6:$C$11)&gt;0),"n.a.",IF($C$9+I$13&gt;=1,"n.a.",Planner!$C$8*((1-$C$9-I$13)*Planner!$C$9-$C$7-$C$8-$C14)))</x:f>
        <x:v>1110.0000000000005</x:v>
      </x:c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6" t="n">
        <x:v>0.03</x:v>
      </x:c>
      <x:c r="D15" s="25" t="n">
        <x:f>IF(OR($C$6="Unavailable",COUNTBLANK(Planner!$C$6:$C$11)&gt;0),"n.a.",IF($C$9+D$13&gt;=1,"n.a.",Planner!$C$8*((1-$C$9-D$13)*Planner!$C$9-$C$7-$C$8-$C15)))</x:f>
        <x:v>2385</x:v>
      </x:c>
      <x:c r="E15" s="25" t="n">
        <x:f>IF(OR($C$6="Unavailable",COUNTBLANK(Planner!$C$6:$C$11)&gt;0),"n.a.",IF($C$9+E$13&gt;=1,"n.a.",Planner!$C$8*((1-$C$9-E$13)*Planner!$C$9-$C$7-$C$8-$C15)))</x:f>
        <x:v>2070.0000000000005</x:v>
      </x:c>
      <x:c r="F15" s="25" t="n">
        <x:f>IF(OR($C$6="Unavailable",COUNTBLANK(Planner!$C$6:$C$11)&gt;0),"n.a.",IF($C$9+F$13&gt;=1,"n.a.",Planner!$C$8*((1-$C$9-F$13)*Planner!$C$9-$C$7-$C$8-$C15)))</x:f>
        <x:v>1754.9999999999995</x:v>
      </x:c>
      <x:c r="G15" s="25" t="n">
        <x:f>IF(OR($C$6="Unavailable",COUNTBLANK(Planner!$C$6:$C$11)&gt;0),"n.a.",IF($C$9+G$13&gt;=1,"n.a.",Planner!$C$8*((1-$C$9-G$13)*Planner!$C$9-$C$7-$C$8-$C15)))</x:f>
        <x:v>1440.000000000001</x:v>
      </x:c>
      <x:c r="H15" s="25" t="n">
        <x:f>IF(OR($C$6="Unavailable",COUNTBLANK(Planner!$C$6:$C$11)&gt;0),"n.a.",IF($C$9+H$13&gt;=1,"n.a.",Planner!$C$8*((1-$C$9-H$13)*Planner!$C$9-$C$7-$C$8-$C15)))</x:f>
        <x:v>1125.0000000000002</x:v>
      </x:c>
      <x:c r="I15" s="25" t="n">
        <x:f>IF(OR($C$6="Unavailable",COUNTBLANK(Planner!$C$6:$C$11)&gt;0),"n.a.",IF($C$9+I$13&gt;=1,"n.a.",Planner!$C$8*((1-$C$9-I$13)*Planner!$C$9-$C$7-$C$8-$C15)))</x:f>
        <x:v>810.0000000000005</x:v>
      </x:c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/>
      <x:c r="C16" s="16" t="n">
        <x:v>0.06</x:v>
      </x:c>
      <x:c r="D16" s="25" t="n">
        <x:f>IF(OR($C$6="Unavailable",COUNTBLANK(Planner!$C$6:$C$11)&gt;0),"n.a.",IF($C$9+D$13&gt;=1,"n.a.",Planner!$C$8*((1-$C$9-D$13)*Planner!$C$9-$C$7-$C$8-$C16)))</x:f>
        <x:v>2085</x:v>
      </x:c>
      <x:c r="E16" s="25" t="n">
        <x:f>IF(OR($C$6="Unavailable",COUNTBLANK(Planner!$C$6:$C$11)&gt;0),"n.a.",IF($C$9+E$13&gt;=1,"n.a.",Planner!$C$8*((1-$C$9-E$13)*Planner!$C$9-$C$7-$C$8-$C16)))</x:f>
        <x:v>1770.0000000000005</x:v>
      </x:c>
      <x:c r="F16" s="25" t="n">
        <x:f>IF(OR($C$6="Unavailable",COUNTBLANK(Planner!$C$6:$C$11)&gt;0),"n.a.",IF($C$9+F$13&gt;=1,"n.a.",Planner!$C$8*((1-$C$9-F$13)*Planner!$C$9-$C$7-$C$8-$C16)))</x:f>
        <x:v>1454.9999999999995</x:v>
      </x:c>
      <x:c r="G16" s="25" t="n">
        <x:f>IF(OR($C$6="Unavailable",COUNTBLANK(Planner!$C$6:$C$11)&gt;0),"n.a.",IF($C$9+G$13&gt;=1,"n.a.",Planner!$C$8*((1-$C$9-G$13)*Planner!$C$9-$C$7-$C$8-$C16)))</x:f>
        <x:v>1140.000000000001</x:v>
      </x:c>
      <x:c r="H16" s="25" t="n">
        <x:f>IF(OR($C$6="Unavailable",COUNTBLANK(Planner!$C$6:$C$11)&gt;0),"n.a.",IF($C$9+H$13&gt;=1,"n.a.",Planner!$C$8*((1-$C$9-H$13)*Planner!$C$9-$C$7-$C$8-$C16)))</x:f>
        <x:v>825.0000000000002</x:v>
      </x:c>
      <x:c r="I16" s="25" t="n">
        <x:f>IF(OR($C$6="Unavailable",COUNTBLANK(Planner!$C$6:$C$11)&gt;0),"n.a.",IF($C$9+I$13&gt;=1,"n.a.",Planner!$C$8*((1-$C$9-I$13)*Planner!$C$9-$C$7-$C$8-$C16)))</x:f>
        <x:v>510.00000000000045</x:v>
      </x:c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6" t="n">
        <x:v>0.09</x:v>
      </x:c>
      <x:c r="D17" s="25" t="n">
        <x:f>IF(OR($C$6="Unavailable",COUNTBLANK(Planner!$C$6:$C$11)&gt;0),"n.a.",IF($C$9+D$13&gt;=1,"n.a.",Planner!$C$8*((1-$C$9-D$13)*Planner!$C$9-$C$7-$C$8-$C17)))</x:f>
        <x:v>1785.0000000000002</x:v>
      </x:c>
      <x:c r="E17" s="25" t="n">
        <x:f>IF(OR($C$6="Unavailable",COUNTBLANK(Planner!$C$6:$C$11)&gt;0),"n.a.",IF($C$9+E$13&gt;=1,"n.a.",Planner!$C$8*((1-$C$9-E$13)*Planner!$C$9-$C$7-$C$8-$C17)))</x:f>
        <x:v>1470.0000000000005</x:v>
      </x:c>
      <x:c r="F17" s="25" t="n">
        <x:f>IF(OR($C$6="Unavailable",COUNTBLANK(Planner!$C$6:$C$11)&gt;0),"n.a.",IF($C$9+F$13&gt;=1,"n.a.",Planner!$C$8*((1-$C$9-F$13)*Planner!$C$9-$C$7-$C$8-$C17)))</x:f>
        <x:v>1154.9999999999995</x:v>
      </x:c>
      <x:c r="G17" s="25" t="n">
        <x:f>IF(OR($C$6="Unavailable",COUNTBLANK(Planner!$C$6:$C$11)&gt;0),"n.a.",IF($C$9+G$13&gt;=1,"n.a.",Planner!$C$8*((1-$C$9-G$13)*Planner!$C$9-$C$7-$C$8-$C17)))</x:f>
        <x:v>840.000000000001</x:v>
      </x:c>
      <x:c r="H17" s="25" t="n">
        <x:f>IF(OR($C$6="Unavailable",COUNTBLANK(Planner!$C$6:$C$11)&gt;0),"n.a.",IF($C$9+H$13&gt;=1,"n.a.",Planner!$C$8*((1-$C$9-H$13)*Planner!$C$9-$C$7-$C$8-$C17)))</x:f>
        <x:v>525.0000000000002</x:v>
      </x:c>
      <x:c r="I17" s="25" t="n">
        <x:f>IF(OR($C$6="Unavailable",COUNTBLANK(Planner!$C$6:$C$11)&gt;0),"n.a.",IF($C$9+I$13&gt;=1,"n.a.",Planner!$C$8*((1-$C$9-I$13)*Planner!$C$9-$C$7-$C$8-$C17)))</x:f>
        <x:v>210.00000000000045</x:v>
      </x:c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6" t="n">
        <x:v>0.12</x:v>
      </x:c>
      <x:c r="D18" s="25" t="n">
        <x:f>IF(OR($C$6="Unavailable",COUNTBLANK(Planner!$C$6:$C$11)&gt;0),"n.a.",IF($C$9+D$13&gt;=1,"n.a.",Planner!$C$8*((1-$C$9-D$13)*Planner!$C$9-$C$7-$C$8-$C18)))</x:f>
        <x:v>1485.0000000000002</x:v>
      </x:c>
      <x:c r="E18" s="25" t="n">
        <x:f>IF(OR($C$6="Unavailable",COUNTBLANK(Planner!$C$6:$C$11)&gt;0),"n.a.",IF($C$9+E$13&gt;=1,"n.a.",Planner!$C$8*((1-$C$9-E$13)*Planner!$C$9-$C$7-$C$8-$C18)))</x:f>
        <x:v>1170.0000000000005</x:v>
      </x:c>
      <x:c r="F18" s="25" t="n">
        <x:f>IF(OR($C$6="Unavailable",COUNTBLANK(Planner!$C$6:$C$11)&gt;0),"n.a.",IF($C$9+F$13&gt;=1,"n.a.",Planner!$C$8*((1-$C$9-F$13)*Planner!$C$9-$C$7-$C$8-$C18)))</x:f>
        <x:v>854.9999999999997</x:v>
      </x:c>
      <x:c r="G18" s="25" t="n">
        <x:f>IF(OR($C$6="Unavailable",COUNTBLANK(Planner!$C$6:$C$11)&gt;0),"n.a.",IF($C$9+G$13&gt;=1,"n.a.",Planner!$C$8*((1-$C$9-G$13)*Planner!$C$9-$C$7-$C$8-$C18)))</x:f>
        <x:v>540.000000000001</x:v>
      </x:c>
      <x:c r="H18" s="25" t="n">
        <x:f>IF(OR($C$6="Unavailable",COUNTBLANK(Planner!$C$6:$C$11)&gt;0),"n.a.",IF($C$9+H$13&gt;=1,"n.a.",Planner!$C$8*((1-$C$9-H$13)*Planner!$C$9-$C$7-$C$8-$C18)))</x:f>
        <x:v>225.0000000000002</x:v>
      </x:c>
      <x:c r="I18" s="25" t="n">
        <x:f>IF(OR($C$6="Unavailable",COUNTBLANK(Planner!$C$6:$C$11)&gt;0),"n.a.",IF($C$9+I$13&gt;=1,"n.a.",Planner!$C$8*((1-$C$9-I$13)*Planner!$C$9-$C$7-$C$8-$C18)))</x:f>
        <x:v>-89.99999999999953</x:v>
      </x:c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 t="str">
        <x:v>Each cell adds the row freight delta and column shrink delta to the active Planner scenario.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 t="str">
        <x:v>This is a formula-based sensitivity grid for a simple linear calculation, not a native Excel What-If Data Table.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conditionalFormatting sqref="D14:I18">
    <x:cfRule type="colorScale" priority="1">
      <x:colorScale>
        <x:cfvo type="min"/>
        <x:cfvo type="percentile" val="50"/>
        <x:cfvo type="max"/>
        <x:color rgb="FFF2D9B6"/>
        <x:color rgb="FFF5F5EB"/>
        <x:color rgb="FFA5C69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67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2" t="str">
        <x:v>USDA terminal quote observations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1"/>
      <x:c r="B4" s="1" t="str">
        <x:v>Source reports: Boston / Chicago October 26, New York October 27, 2026. Manually transcribed; archived snapshot.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6" customHeight="1">
      <x:c r="A6" s="1"/>
      <x:c r="B6" s="14" t="str">
        <x:v>Evidence ID</x:v>
      </x:c>
      <x:c r="C6" s="14" t="str">
        <x:v>Report date</x:v>
      </x:c>
      <x:c r="D6" s="14" t="str">
        <x:v>Market</x:v>
      </x:c>
      <x:c r="E6" s="14" t="str">
        <x:v>Size count</x:v>
      </x:c>
      <x:c r="F6" s="14" t="str">
        <x:v>Low USD/carton</x:v>
      </x:c>
      <x:c r="G6" s="14" t="str">
        <x:v>High USD/carton</x:v>
      </x:c>
      <x:c r="H6" s="14" t="str">
        <x:v>Mid USD/lb</x:v>
      </x:c>
      <x:c r="I6" s="14" t="str">
        <x:v>Source page</x:v>
      </x:c>
      <x:c r="J6" s="14" t="str">
        <x:v>Source URL</x:v>
      </x:c>
      <x:c r="K6" s="1"/>
      <x:c r="L6" s="1"/>
      <x:c r="M6" s="1"/>
      <x:c r="N6" s="1"/>
      <x:c r="O6" s="1"/>
      <x:c r="P6" s="1"/>
    </x:row>
    <x:row r="7" ht="23" customHeight="1">
      <x:c r="A7" s="1"/>
      <x:c r="B7" s="1" t="str">
        <x:v>bh_fv030_2026-10-26_40</x:v>
      </x:c>
      <x:c r="C7" s="15" t="d">
        <x:v>2026-10-26T00:00:00.000Z</x:v>
      </x:c>
      <x:c r="D7" s="1" t="str">
        <x:v>Boston</x:v>
      </x:c>
      <x:c r="E7" s="1" t="n">
        <x:v>40</x:v>
      </x:c>
      <x:c r="F7" s="16" t="n">
        <x:v>39</x:v>
      </x:c>
      <x:c r="G7" s="16" t="n">
        <x:v>42</x:v>
      </x:c>
      <x:c r="H7" s="17" t="n">
        <x:v>0.81</x:v>
      </x:c>
      <x:c r="I7" s="1" t="n">
        <x:v>1</x:v>
      </x:c>
      <x:c r="J7" s="1" t="str">
        <x:v>https://www.ams.usda.gov/mnreports/bh_fv030.pdf</x:v>
      </x:c>
      <x:c r="K7" s="1"/>
      <x:c r="L7" s="1"/>
      <x:c r="M7" s="1"/>
      <x:c r="N7" s="1"/>
      <x:c r="O7" s="1"/>
      <x:c r="P7" s="1"/>
    </x:row>
    <x:row r="8" ht="23" customHeight="1">
      <x:c r="A8" s="1"/>
      <x:c r="B8" s="1" t="str">
        <x:v>bh_fv030_2026-10-26_50</x:v>
      </x:c>
      <x:c r="C8" s="15" t="d">
        <x:v>2026-10-26T00:00:00.000Z</x:v>
      </x:c>
      <x:c r="D8" s="1" t="str">
        <x:v>Boston</x:v>
      </x:c>
      <x:c r="E8" s="1" t="n">
        <x:v>50</x:v>
      </x:c>
      <x:c r="F8" s="16" t="n">
        <x:v>39</x:v>
      </x:c>
      <x:c r="G8" s="16" t="n">
        <x:v>42</x:v>
      </x:c>
      <x:c r="H8" s="17" t="n">
        <x:v>0.81</x:v>
      </x:c>
      <x:c r="I8" s="1" t="n">
        <x:v>1</x:v>
      </x:c>
      <x:c r="J8" s="1" t="str">
        <x:v>https://www.ams.usda.gov/mnreports/bh_fv030.pdf</x:v>
      </x:c>
      <x:c r="K8" s="1"/>
      <x:c r="L8" s="1"/>
      <x:c r="M8" s="1"/>
      <x:c r="N8" s="1"/>
      <x:c r="O8" s="1"/>
      <x:c r="P8" s="1"/>
    </x:row>
    <x:row r="9" ht="23" customHeight="1">
      <x:c r="A9" s="1"/>
      <x:c r="B9" s="1" t="str">
        <x:v>bh_fv030_2026-10-26_60</x:v>
      </x:c>
      <x:c r="C9" s="15" t="d">
        <x:v>2026-10-26T00:00:00.000Z</x:v>
      </x:c>
      <x:c r="D9" s="1" t="str">
        <x:v>Boston</x:v>
      </x:c>
      <x:c r="E9" s="1" t="n">
        <x:v>60</x:v>
      </x:c>
      <x:c r="F9" s="16" t="n">
        <x:v>38</x:v>
      </x:c>
      <x:c r="G9" s="16" t="n">
        <x:v>41</x:v>
      </x:c>
      <x:c r="H9" s="17" t="n">
        <x:v>0.79</x:v>
      </x:c>
      <x:c r="I9" s="1" t="n">
        <x:v>1</x:v>
      </x:c>
      <x:c r="J9" s="1" t="str">
        <x:v>https://www.ams.usda.gov/mnreports/bh_fv030.pdf</x:v>
      </x:c>
      <x:c r="K9" s="1"/>
      <x:c r="L9" s="1"/>
      <x:c r="M9" s="1"/>
      <x:c r="N9" s="1"/>
      <x:c r="O9" s="1"/>
      <x:c r="P9" s="1"/>
    </x:row>
    <x:row r="10" ht="23" customHeight="1">
      <x:c r="A10" s="1"/>
      <x:c r="B10" s="1" t="str">
        <x:v>bh_fv030_2026-10-26_70</x:v>
      </x:c>
      <x:c r="C10" s="15" t="d">
        <x:v>2026-10-26T00:00:00.000Z</x:v>
      </x:c>
      <x:c r="D10" s="1" t="str">
        <x:v>Boston</x:v>
      </x:c>
      <x:c r="E10" s="1" t="n">
        <x:v>70</x:v>
      </x:c>
      <x:c r="F10" s="16" t="n">
        <x:v>38</x:v>
      </x:c>
      <x:c r="G10" s="16" t="n">
        <x:v>41</x:v>
      </x:c>
      <x:c r="H10" s="17" t="n">
        <x:v>0.79</x:v>
      </x:c>
      <x:c r="I10" s="1" t="n">
        <x:v>1</x:v>
      </x:c>
      <x:c r="J10" s="1" t="str">
        <x:v>https://www.ams.usda.gov/mnreports/bh_fv030.pdf</x:v>
      </x:c>
      <x:c r="K10" s="1"/>
      <x:c r="L10" s="1"/>
      <x:c r="M10" s="1"/>
      <x:c r="N10" s="1"/>
      <x:c r="O10" s="1"/>
      <x:c r="P10" s="1"/>
    </x:row>
    <x:row r="11" ht="23" customHeight="1">
      <x:c r="A11" s="1"/>
      <x:c r="B11" s="1" t="str">
        <x:v>bh_fv030_2026-10-26_80</x:v>
      </x:c>
      <x:c r="C11" s="15" t="d">
        <x:v>2026-10-26T00:00:00.000Z</x:v>
      </x:c>
      <x:c r="D11" s="1" t="str">
        <x:v>Boston</x:v>
      </x:c>
      <x:c r="E11" s="1" t="n">
        <x:v>80</x:v>
      </x:c>
      <x:c r="F11" s="16" t="n">
        <x:v>33</x:v>
      </x:c>
      <x:c r="G11" s="16" t="n">
        <x:v>36</x:v>
      </x:c>
      <x:c r="H11" s="17" t="n">
        <x:v>0.69</x:v>
      </x:c>
      <x:c r="I11" s="1" t="n">
        <x:v>1</x:v>
      </x:c>
      <x:c r="J11" s="1" t="str">
        <x:v>https://www.ams.usda.gov/mnreports/bh_fv030.pdf</x:v>
      </x:c>
      <x:c r="K11" s="1"/>
      <x:c r="L11" s="1"/>
      <x:c r="M11" s="1"/>
      <x:c r="N11" s="1"/>
      <x:c r="O11" s="1"/>
      <x:c r="P11" s="1"/>
    </x:row>
    <x:row r="12" ht="23" customHeight="1">
      <x:c r="A12" s="1"/>
      <x:c r="B12" s="1" t="str">
        <x:v>bh_fv030_2026-10-26_90</x:v>
      </x:c>
      <x:c r="C12" s="15" t="d">
        <x:v>2026-10-26T00:00:00.000Z</x:v>
      </x:c>
      <x:c r="D12" s="1" t="str">
        <x:v>Boston</x:v>
      </x:c>
      <x:c r="E12" s="1" t="n">
        <x:v>90</x:v>
      </x:c>
      <x:c r="F12" s="16" t="n">
        <x:v>30</x:v>
      </x:c>
      <x:c r="G12" s="16" t="n">
        <x:v>34</x:v>
      </x:c>
      <x:c r="H12" s="17" t="n">
        <x:v>0.64</x:v>
      </x:c>
      <x:c r="I12" s="1" t="n">
        <x:v>1</x:v>
      </x:c>
      <x:c r="J12" s="1" t="str">
        <x:v>https://www.ams.usda.gov/mnreports/bh_fv030.pdf</x:v>
      </x:c>
      <x:c r="K12" s="1"/>
      <x:c r="L12" s="1"/>
      <x:c r="M12" s="1"/>
      <x:c r="N12" s="1"/>
      <x:c r="O12" s="1"/>
      <x:c r="P12" s="1"/>
    </x:row>
    <x:row r="13" ht="23" customHeight="1">
      <x:c r="A13" s="1"/>
      <x:c r="B13" s="1" t="str">
        <x:v>bh_fv030_2026-10-26_100</x:v>
      </x:c>
      <x:c r="C13" s="15" t="d">
        <x:v>2026-10-26T00:00:00.000Z</x:v>
      </x:c>
      <x:c r="D13" s="1" t="str">
        <x:v>Boston</x:v>
      </x:c>
      <x:c r="E13" s="1" t="n">
        <x:v>100</x:v>
      </x:c>
      <x:c r="F13" s="16" t="n">
        <x:v>28</x:v>
      </x:c>
      <x:c r="G13" s="16" t="n">
        <x:v>31</x:v>
      </x:c>
      <x:c r="H13" s="17" t="n">
        <x:v>0.59</x:v>
      </x:c>
      <x:c r="I13" s="1" t="n">
        <x:v>1</x:v>
      </x:c>
      <x:c r="J13" s="1" t="str">
        <x:v>https://www.ams.usda.gov/mnreports/bh_fv030.pdf</x:v>
      </x:c>
      <x:c r="K13" s="1"/>
      <x:c r="L13" s="1"/>
      <x:c r="M13" s="1"/>
      <x:c r="N13" s="1"/>
      <x:c r="O13" s="1"/>
      <x:c r="P13" s="1"/>
    </x:row>
    <x:row r="14" ht="23" customHeight="1">
      <x:c r="A14" s="1"/>
      <x:c r="B14" s="1" t="str">
        <x:v>bh_fv030_2026-10-26_120</x:v>
      </x:c>
      <x:c r="C14" s="15" t="d">
        <x:v>2026-10-26T00:00:00.000Z</x:v>
      </x:c>
      <x:c r="D14" s="1" t="str">
        <x:v>Boston</x:v>
      </x:c>
      <x:c r="E14" s="1" t="n">
        <x:v>120</x:v>
      </x:c>
      <x:c r="F14" s="16" t="n">
        <x:v>28</x:v>
      </x:c>
      <x:c r="G14" s="16" t="n">
        <x:v>30</x:v>
      </x:c>
      <x:c r="H14" s="17" t="n">
        <x:v>0.58</x:v>
      </x:c>
      <x:c r="I14" s="1" t="n">
        <x:v>1</x:v>
      </x:c>
      <x:c r="J14" s="1" t="str">
        <x:v>https://www.ams.usda.gov/mnreports/bh_fv030.pdf</x:v>
      </x:c>
      <x:c r="K14" s="1"/>
      <x:c r="L14" s="1"/>
      <x:c r="M14" s="1"/>
      <x:c r="N14" s="1"/>
      <x:c r="O14" s="1"/>
      <x:c r="P14" s="1"/>
    </x:row>
    <x:row r="15" ht="23" customHeight="1">
      <x:c r="A15" s="1"/>
      <x:c r="B15" s="1" t="str">
        <x:v>hx_fv030_2026-10-26_40</x:v>
      </x:c>
      <x:c r="C15" s="15" t="d">
        <x:v>2026-10-26T00:00:00.000Z</x:v>
      </x:c>
      <x:c r="D15" s="1" t="str">
        <x:v>Chicago</x:v>
      </x:c>
      <x:c r="E15" s="1" t="n">
        <x:v>40</x:v>
      </x:c>
      <x:c r="F15" s="16" t="n">
        <x:v>32</x:v>
      </x:c>
      <x:c r="G15" s="16" t="n">
        <x:v>35</x:v>
      </x:c>
      <x:c r="H15" s="17" t="n">
        <x:v>0.67</x:v>
      </x:c>
      <x:c r="I15" s="1" t="n">
        <x:v>1</x:v>
      </x:c>
      <x:c r="J15" s="1" t="str">
        <x:v>https://www.ams.usda.gov/mnreports/hx_fv030.pdf</x:v>
      </x:c>
      <x:c r="K15" s="1"/>
      <x:c r="L15" s="1"/>
      <x:c r="M15" s="1"/>
      <x:c r="N15" s="1"/>
      <x:c r="O15" s="1"/>
      <x:c r="P15" s="1"/>
    </x:row>
    <x:row r="16" ht="23" customHeight="1">
      <x:c r="A16" s="1"/>
      <x:c r="B16" s="1" t="str">
        <x:v>hx_fv030_2026-10-26_50</x:v>
      </x:c>
      <x:c r="C16" s="15" t="d">
        <x:v>2026-10-26T00:00:00.000Z</x:v>
      </x:c>
      <x:c r="D16" s="1" t="str">
        <x:v>Chicago</x:v>
      </x:c>
      <x:c r="E16" s="1" t="n">
        <x:v>50</x:v>
      </x:c>
      <x:c r="F16" s="16" t="n">
        <x:v>32</x:v>
      </x:c>
      <x:c r="G16" s="16" t="n">
        <x:v>35</x:v>
      </x:c>
      <x:c r="H16" s="17" t="n">
        <x:v>0.67</x:v>
      </x:c>
      <x:c r="I16" s="1" t="n">
        <x:v>1</x:v>
      </x:c>
      <x:c r="J16" s="1" t="str">
        <x:v>https://www.ams.usda.gov/mnreports/hx_fv030.pdf</x:v>
      </x:c>
      <x:c r="K16" s="1"/>
      <x:c r="L16" s="1"/>
      <x:c r="M16" s="1"/>
      <x:c r="N16" s="1"/>
      <x:c r="O16" s="1"/>
      <x:c r="P16" s="1"/>
    </x:row>
    <x:row r="17" ht="23" customHeight="1">
      <x:c r="A17" s="1"/>
      <x:c r="B17" s="1" t="str">
        <x:v>hx_fv030_2026-10-26_60</x:v>
      </x:c>
      <x:c r="C17" s="15" t="d">
        <x:v>2026-10-26T00:00:00.000Z</x:v>
      </x:c>
      <x:c r="D17" s="1" t="str">
        <x:v>Chicago</x:v>
      </x:c>
      <x:c r="E17" s="1" t="n">
        <x:v>60</x:v>
      </x:c>
      <x:c r="F17" s="16" t="n">
        <x:v>30.5</x:v>
      </x:c>
      <x:c r="G17" s="16" t="n">
        <x:v>35</x:v>
      </x:c>
      <x:c r="H17" s="17" t="n">
        <x:v>0.655</x:v>
      </x:c>
      <x:c r="I17" s="1" t="n">
        <x:v>1</x:v>
      </x:c>
      <x:c r="J17" s="1" t="str">
        <x:v>https://www.ams.usda.gov/mnreports/hx_fv030.pdf</x:v>
      </x:c>
      <x:c r="K17" s="1"/>
      <x:c r="L17" s="1"/>
      <x:c r="M17" s="1"/>
      <x:c r="N17" s="1"/>
      <x:c r="O17" s="1"/>
      <x:c r="P17" s="1"/>
    </x:row>
    <x:row r="18" ht="23" customHeight="1">
      <x:c r="A18" s="1"/>
      <x:c r="B18" s="1" t="str">
        <x:v>hx_fv030_2026-10-26_70</x:v>
      </x:c>
      <x:c r="C18" s="15" t="d">
        <x:v>2026-10-26T00:00:00.000Z</x:v>
      </x:c>
      <x:c r="D18" s="1" t="str">
        <x:v>Chicago</x:v>
      </x:c>
      <x:c r="E18" s="1" t="n">
        <x:v>70</x:v>
      </x:c>
      <x:c r="F18" s="16" t="n">
        <x:v>30.5</x:v>
      </x:c>
      <x:c r="G18" s="16" t="n">
        <x:v>35</x:v>
      </x:c>
      <x:c r="H18" s="17" t="n">
        <x:v>0.655</x:v>
      </x:c>
      <x:c r="I18" s="1" t="n">
        <x:v>1</x:v>
      </x:c>
      <x:c r="J18" s="1" t="str">
        <x:v>https://www.ams.usda.gov/mnreports/hx_fv030.pdf</x:v>
      </x:c>
      <x:c r="K18" s="1"/>
      <x:c r="L18" s="1"/>
      <x:c r="M18" s="1"/>
      <x:c r="N18" s="1"/>
      <x:c r="O18" s="1"/>
      <x:c r="P18" s="1"/>
    </x:row>
    <x:row r="19" ht="23" customHeight="1">
      <x:c r="A19" s="1"/>
      <x:c r="B19" s="1" t="str">
        <x:v>hx_fv030_2026-10-26_80</x:v>
      </x:c>
      <x:c r="C19" s="15" t="d">
        <x:v>2026-10-26T00:00:00.000Z</x:v>
      </x:c>
      <x:c r="D19" s="1" t="str">
        <x:v>Chicago</x:v>
      </x:c>
      <x:c r="E19" s="1" t="n">
        <x:v>80</x:v>
      </x:c>
      <x:c r="F19" s="16" t="n">
        <x:v>26</x:v>
      </x:c>
      <x:c r="G19" s="16" t="n">
        <x:v>30</x:v>
      </x:c>
      <x:c r="H19" s="17" t="n">
        <x:v>0.56</x:v>
      </x:c>
      <x:c r="I19" s="1" t="n">
        <x:v>1</x:v>
      </x:c>
      <x:c r="J19" s="1" t="str">
        <x:v>https://www.ams.usda.gov/mnreports/hx_fv030.pdf</x:v>
      </x:c>
      <x:c r="K19" s="1"/>
      <x:c r="L19" s="1"/>
      <x:c r="M19" s="1"/>
      <x:c r="N19" s="1"/>
      <x:c r="O19" s="1"/>
      <x:c r="P19" s="1"/>
    </x:row>
    <x:row r="20" ht="23" customHeight="1">
      <x:c r="A20" s="1"/>
      <x:c r="B20" s="1" t="str">
        <x:v>hx_fv030_2026-10-26_90</x:v>
      </x:c>
      <x:c r="C20" s="15" t="d">
        <x:v>2026-10-26T00:00:00.000Z</x:v>
      </x:c>
      <x:c r="D20" s="1" t="str">
        <x:v>Chicago</x:v>
      </x:c>
      <x:c r="E20" s="1" t="n">
        <x:v>90</x:v>
      </x:c>
      <x:c r="F20" s="16" t="n">
        <x:v>22</x:v>
      </x:c>
      <x:c r="G20" s="16" t="n">
        <x:v>26</x:v>
      </x:c>
      <x:c r="H20" s="17" t="n">
        <x:v>0.48</x:v>
      </x:c>
      <x:c r="I20" s="1" t="n">
        <x:v>1</x:v>
      </x:c>
      <x:c r="J20" s="1" t="str">
        <x:v>https://www.ams.usda.gov/mnreports/hx_fv030.pdf</x:v>
      </x:c>
      <x:c r="K20" s="1"/>
      <x:c r="L20" s="1"/>
      <x:c r="M20" s="1"/>
      <x:c r="N20" s="1"/>
      <x:c r="O20" s="1"/>
      <x:c r="P20" s="1"/>
    </x:row>
    <x:row r="21" ht="23" customHeight="1">
      <x:c r="A21" s="1"/>
      <x:c r="B21" s="1" t="str">
        <x:v>hx_fv030_2026-10-26_100</x:v>
      </x:c>
      <x:c r="C21" s="15" t="d">
        <x:v>2026-10-26T00:00:00.000Z</x:v>
      </x:c>
      <x:c r="D21" s="1" t="str">
        <x:v>Chicago</x:v>
      </x:c>
      <x:c r="E21" s="1" t="n">
        <x:v>100</x:v>
      </x:c>
      <x:c r="F21" s="16" t="n">
        <x:v>20</x:v>
      </x:c>
      <x:c r="G21" s="16" t="n">
        <x:v>23</x:v>
      </x:c>
      <x:c r="H21" s="17" t="n">
        <x:v>0.43</x:v>
      </x:c>
      <x:c r="I21" s="1" t="n">
        <x:v>1</x:v>
      </x:c>
      <x:c r="J21" s="1" t="str">
        <x:v>https://www.ams.usda.gov/mnreports/hx_fv030.pdf</x:v>
      </x:c>
      <x:c r="K21" s="1"/>
      <x:c r="L21" s="1"/>
      <x:c r="M21" s="1"/>
      <x:c r="N21" s="1"/>
      <x:c r="O21" s="1"/>
      <x:c r="P21" s="1"/>
    </x:row>
    <x:row r="22" ht="23" customHeight="1">
      <x:c r="A22" s="1"/>
      <x:c r="B22" s="1" t="str">
        <x:v>nx_fv030_2026-10-27_40</x:v>
      </x:c>
      <x:c r="C22" s="15" t="d">
        <x:v>2026-10-27T00:00:00.000Z</x:v>
      </x:c>
      <x:c r="D22" s="1" t="str">
        <x:v>New York</x:v>
      </x:c>
      <x:c r="E22" s="1" t="n">
        <x:v>40</x:v>
      </x:c>
      <x:c r="F22" s="16" t="n">
        <x:v>42</x:v>
      </x:c>
      <x:c r="G22" s="16" t="n">
        <x:v>45</x:v>
      </x:c>
      <x:c r="H22" s="17" t="n">
        <x:v>0.87</x:v>
      </x:c>
      <x:c r="I22" s="1" t="n">
        <x:v>1</x:v>
      </x:c>
      <x:c r="J22" s="1" t="str">
        <x:v>https://www.ams.usda.gov/mnreports/nx_fv030.pdf</x:v>
      </x:c>
      <x:c r="K22" s="1"/>
      <x:c r="L22" s="1"/>
      <x:c r="M22" s="1"/>
      <x:c r="N22" s="1"/>
      <x:c r="O22" s="1"/>
      <x:c r="P22" s="1"/>
    </x:row>
    <x:row r="23" ht="23" customHeight="1">
      <x:c r="A23" s="1"/>
      <x:c r="B23" s="1" t="str">
        <x:v>nx_fv030_2026-10-27_50</x:v>
      </x:c>
      <x:c r="C23" s="15" t="d">
        <x:v>2026-10-27T00:00:00.000Z</x:v>
      </x:c>
      <x:c r="D23" s="1" t="str">
        <x:v>New York</x:v>
      </x:c>
      <x:c r="E23" s="1" t="n">
        <x:v>50</x:v>
      </x:c>
      <x:c r="F23" s="16" t="n">
        <x:v>42</x:v>
      </x:c>
      <x:c r="G23" s="16" t="n">
        <x:v>45</x:v>
      </x:c>
      <x:c r="H23" s="17" t="n">
        <x:v>0.87</x:v>
      </x:c>
      <x:c r="I23" s="1" t="n">
        <x:v>1</x:v>
      </x:c>
      <x:c r="J23" s="1" t="str">
        <x:v>https://www.ams.usda.gov/mnreports/nx_fv030.pdf</x:v>
      </x:c>
      <x:c r="K23" s="1"/>
      <x:c r="L23" s="1"/>
      <x:c r="M23" s="1"/>
      <x:c r="N23" s="1"/>
      <x:c r="O23" s="1"/>
      <x:c r="P23" s="1"/>
    </x:row>
    <x:row r="24" ht="23" customHeight="1">
      <x:c r="A24" s="1"/>
      <x:c r="B24" s="1" t="str">
        <x:v>nx_fv030_2026-10-27_60</x:v>
      </x:c>
      <x:c r="C24" s="15" t="d">
        <x:v>2026-10-27T00:00:00.000Z</x:v>
      </x:c>
      <x:c r="D24" s="1" t="str">
        <x:v>New York</x:v>
      </x:c>
      <x:c r="E24" s="1" t="n">
        <x:v>60</x:v>
      </x:c>
      <x:c r="F24" s="16" t="n">
        <x:v>40</x:v>
      </x:c>
      <x:c r="G24" s="16" t="n">
        <x:v>42</x:v>
      </x:c>
      <x:c r="H24" s="17" t="n">
        <x:v>0.82</x:v>
      </x:c>
      <x:c r="I24" s="1" t="n">
        <x:v>1</x:v>
      </x:c>
      <x:c r="J24" s="1" t="str">
        <x:v>https://www.ams.usda.gov/mnreports/nx_fv030.pdf</x:v>
      </x:c>
      <x:c r="K24" s="1"/>
      <x:c r="L24" s="1"/>
      <x:c r="M24" s="1"/>
      <x:c r="N24" s="1"/>
      <x:c r="O24" s="1"/>
      <x:c r="P24" s="1"/>
    </x:row>
    <x:row r="25" ht="23" customHeight="1">
      <x:c r="A25" s="1"/>
      <x:c r="B25" s="1" t="str">
        <x:v>nx_fv030_2026-10-27_70</x:v>
      </x:c>
      <x:c r="C25" s="15" t="d">
        <x:v>2026-10-27T00:00:00.000Z</x:v>
      </x:c>
      <x:c r="D25" s="1" t="str">
        <x:v>New York</x:v>
      </x:c>
      <x:c r="E25" s="1" t="n">
        <x:v>70</x:v>
      </x:c>
      <x:c r="F25" s="16" t="n">
        <x:v>38</x:v>
      </x:c>
      <x:c r="G25" s="16" t="n">
        <x:v>40</x:v>
      </x:c>
      <x:c r="H25" s="17" t="n">
        <x:v>0.78</x:v>
      </x:c>
      <x:c r="I25" s="1" t="n">
        <x:v>1</x:v>
      </x:c>
      <x:c r="J25" s="1" t="str">
        <x:v>https://www.ams.usda.gov/mnreports/nx_fv030.pdf</x:v>
      </x:c>
      <x:c r="K25" s="1"/>
      <x:c r="L25" s="1"/>
      <x:c r="M25" s="1"/>
      <x:c r="N25" s="1"/>
      <x:c r="O25" s="1"/>
      <x:c r="P25" s="1"/>
    </x:row>
    <x:row r="26" ht="23" customHeight="1">
      <x:c r="A26" s="1"/>
      <x:c r="B26" s="1" t="str">
        <x:v>nx_fv030_2026-10-27_80</x:v>
      </x:c>
      <x:c r="C26" s="15" t="d">
        <x:v>2026-10-27T00:00:00.000Z</x:v>
      </x:c>
      <x:c r="D26" s="1" t="str">
        <x:v>New York</x:v>
      </x:c>
      <x:c r="E26" s="1" t="n">
        <x:v>80</x:v>
      </x:c>
      <x:c r="F26" s="16" t="n">
        <x:v>34</x:v>
      </x:c>
      <x:c r="G26" s="16" t="n">
        <x:v>36</x:v>
      </x:c>
      <x:c r="H26" s="17" t="n">
        <x:v>0.7</x:v>
      </x:c>
      <x:c r="I26" s="1" t="n">
        <x:v>1</x:v>
      </x:c>
      <x:c r="J26" s="1" t="str">
        <x:v>https://www.ams.usda.gov/mnreports/nx_fv030.pdf</x:v>
      </x:c>
      <x:c r="K26" s="1"/>
      <x:c r="L26" s="1"/>
      <x:c r="M26" s="1"/>
      <x:c r="N26" s="1"/>
      <x:c r="O26" s="1"/>
      <x:c r="P26" s="1"/>
    </x:row>
    <x:row r="27" ht="23" customHeight="1">
      <x:c r="A27" s="1"/>
      <x:c r="B27" s="1" t="str">
        <x:v>nx_fv030_2026-10-27_90</x:v>
      </x:c>
      <x:c r="C27" s="15" t="d">
        <x:v>2026-10-27T00:00:00.000Z</x:v>
      </x:c>
      <x:c r="D27" s="1" t="str">
        <x:v>New York</x:v>
      </x:c>
      <x:c r="E27" s="1" t="n">
        <x:v>90</x:v>
      </x:c>
      <x:c r="F27" s="16" t="n">
        <x:v>32</x:v>
      </x:c>
      <x:c r="G27" s="16" t="n">
        <x:v>32</x:v>
      </x:c>
      <x:c r="H27" s="17" t="n">
        <x:v>0.64</x:v>
      </x:c>
      <x:c r="I27" s="1" t="n">
        <x:v>1</x:v>
      </x:c>
      <x:c r="J27" s="1" t="str">
        <x:v>https://www.ams.usda.gov/mnreports/nx_fv030.pdf</x:v>
      </x:c>
      <x:c r="K27" s="1"/>
      <x:c r="L27" s="1"/>
      <x:c r="M27" s="1"/>
      <x:c r="N27" s="1"/>
      <x:c r="O27" s="1"/>
      <x:c r="P27" s="1"/>
    </x:row>
    <x:row r="28" ht="23" customHeight="1">
      <x:c r="A28" s="1"/>
      <x:c r="B28" s="1" t="str">
        <x:v>nx_fv030_2026-10-27_100</x:v>
      </x:c>
      <x:c r="C28" s="15" t="d">
        <x:v>2026-10-27T00:00:00.000Z</x:v>
      </x:c>
      <x:c r="D28" s="1" t="str">
        <x:v>New York</x:v>
      </x:c>
      <x:c r="E28" s="1" t="n">
        <x:v>100</x:v>
      </x:c>
      <x:c r="F28" s="16" t="n">
        <x:v>28</x:v>
      </x:c>
      <x:c r="G28" s="16" t="n">
        <x:v>28</x:v>
      </x:c>
      <x:c r="H28" s="17" t="n">
        <x:v>0.56</x:v>
      </x:c>
      <x:c r="I28" s="1" t="n">
        <x:v>1</x:v>
      </x:c>
      <x:c r="J28" s="1" t="str">
        <x:v>https://www.ams.usda.gov/mnreports/nx_fv030.pdf</x:v>
      </x:c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pageMargins left="0.7" right="0.7" top="0.75" bottom="0.75" header="0.3" footer="0.3"/>
  <x:tableParts count="1">
    <x:tablePart xmlns:r="http://schemas.openxmlformats.org/officeDocument/2006/relationships" r:id="Ra509f13fe54d4a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2" t="str">
        <x:v>Route assumptions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</x:row>
    <x:row r="4" ht="23" customHeight="1">
      <x:c r="A4" s="1"/>
      <x:c r="B4" s="1" t="str">
        <x:v>All route inputs below are illustrative assumptions, not freight quotes or observed operations.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6" customHeight="1">
      <x:c r="A6" s="1"/>
      <x:c r="B6" s="14" t="str">
        <x:v>Market</x:v>
      </x:c>
      <x:c r="C6" s="14" t="str">
        <x:v>Freight USD/lb</x:v>
      </x:c>
      <x:c r="D6" s="14" t="str">
        <x:v>Shrink fraction</x:v>
      </x:c>
      <x:c r="E6" s="14" t="str">
        <x:v>Capacity lb</x:v>
      </x:c>
      <x:c r="F6" s="14" t="str">
        <x:v>Transit hours</x:v>
      </x:c>
      <x:c r="G6" s="14" t="str">
        <x:v>Data kind</x:v>
      </x:c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 t="str">
        <x:v>Boston</x:v>
      </x:c>
      <x:c r="C7" s="7" t="n">
        <x:v>0.06</x:v>
      </x:c>
      <x:c r="D7" s="8" t="n">
        <x:v>0.03</x:v>
      </x:c>
      <x:c r="E7" s="6" t="n">
        <x:v>12000</x:v>
      </x:c>
      <x:c r="F7" s="6" t="n">
        <x:v>5</x:v>
      </x:c>
      <x:c r="G7" s="1" t="str">
        <x:v>Assumption</x:v>
      </x:c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 t="str">
        <x:v>Chicago</x:v>
      </x:c>
      <x:c r="C8" s="7" t="n">
        <x:v>0.19</x:v>
      </x:c>
      <x:c r="D8" s="8" t="n">
        <x:v>0.06</x:v>
      </x:c>
      <x:c r="E8" s="6" t="n">
        <x:v>16000</x:v>
      </x:c>
      <x:c r="F8" s="6" t="n">
        <x:v>18</x:v>
      </x:c>
      <x:c r="G8" s="1" t="str">
        <x:v>Assumption</x:v>
      </x:c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 t="str">
        <x:v>New York</x:v>
      </x:c>
      <x:c r="C9" s="7" t="n">
        <x:v>0.04</x:v>
      </x:c>
      <x:c r="D9" s="8" t="n">
        <x:v>0.025</x:v>
      </x:c>
      <x:c r="E9" s="6" t="n">
        <x:v>10000</x:v>
      </x:c>
      <x:c r="F9" s="6" t="n">
        <x:v>3</x:v>
      </x:c>
      <x:c r="G9" s="1" t="str">
        <x:v>Assumption</x:v>
      </x:c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 t="str">
        <x:v>Definitions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 t="str">
        <x:v>Origin: Idaho; conventional U.S. One Russet Norkotah, 50 lb cartons.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 t="str">
        <x:v>Destination: generic regional distribution center; no actual geography is implied.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 t="str">
        <x:v>Freight is charged per purchased pound. Shrink reduces saleable pounds.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dataValidations count="1">
    <x:dataValidation type="decimal" operator="between" sqref="D7:D9">
      <x:formula1>0</x:formula1>
      <x:formula2>0.99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197ac025ba94da0"/>
  </x:tableParts>
</x:worksheet>
</file>